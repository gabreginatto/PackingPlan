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Assumptions" sheetId="2" r:id="rId2"/>
    <sheet name="Pipe_Input_Data" sheetId="3" r:id="rId3"/>
    <sheet name="Individual_40ft_Plans" sheetId="4" r:id="rId4"/>
    <sheet name="Telescoping_Capacity" sheetId="5" r:id="rId5"/>
    <sheet name="Telescoped_40ft_Plans" sheetId="6" r:id="rId6"/>
    <sheet name="Order_Impact" sheetId="7" r:id="rId7"/>
  </sheets>
  <definedNames>
    <definedName name="_xlnm._FilterDatabase" localSheetId="1" hidden="1">Assumptions!$A$1:$U$1</definedName>
    <definedName name="_xlnm._FilterDatabase" localSheetId="0" hidden="1">Executive_Summary!$A$1:$U$1</definedName>
    <definedName name="_xlnm._FilterDatabase" localSheetId="3" hidden="1">Individual_40ft_Plans!$A$1:$U$1</definedName>
    <definedName name="_xlnm._FilterDatabase" localSheetId="6" hidden="1">Order_Impact!$A$1:$U$1</definedName>
    <definedName name="_xlnm._FilterDatabase" localSheetId="2" hidden="1">Pipe_Input_Data!$A$1:$U$1</definedName>
    <definedName name="_xlnm._FilterDatabase" localSheetId="5" hidden="1">Telescoped_40ft_Plans!$A$1:$U$1</definedName>
    <definedName name="_xlnm._FilterDatabase" localSheetId="4" hidden="1">Telescoping_Capacity!$A$1:$U$1</definedName>
  </definedNames>
  <calcPr calcId="124519" fullCalcOnLoad="1"/>
</workbook>
</file>

<file path=xl/sharedStrings.xml><?xml version="1.0" encoding="utf-8"?>
<sst xmlns="http://schemas.openxmlformats.org/spreadsheetml/2006/main" count="367" uniqueCount="145">
  <si>
    <t>Deliverable</t>
  </si>
  <si>
    <t>Status</t>
  </si>
  <si>
    <t>Individual same-size 40ft packing plans</t>
  </si>
  <si>
    <t>Telescopable 40ft packing plans</t>
  </si>
  <si>
    <t>PVC telescoping check</t>
  </si>
  <si>
    <t>DN20 exclusion</t>
  </si>
  <si>
    <t>HDPE arrangement</t>
  </si>
  <si>
    <t>Included in Individual_40ft_Plans</t>
  </si>
  <si>
    <t>Included in Telescoped_40ft_Plans</t>
  </si>
  <si>
    <t>Geometrically possible for 2/3/4 inch plain-end PVC; not recommended for belled/socketed PVC without supplier approval</t>
  </si>
  <si>
    <t>DN20 pipe rows are excluded from all plan sheets</t>
  </si>
  <si>
    <t>DN315 hosts can carry 4 x DN110; same-size DN315 and DN110 plans also included</t>
  </si>
  <si>
    <t>40ft Pipe Packing Plan</t>
  </si>
  <si>
    <t>Assumption</t>
  </si>
  <si>
    <t>Value</t>
  </si>
  <si>
    <t>40ft HC internal dimensions</t>
  </si>
  <si>
    <t>Payload cap used</t>
  </si>
  <si>
    <t>Pipe arrangement model</t>
  </si>
  <si>
    <t>Telescoping clearance</t>
  </si>
  <si>
    <t>HDPE dimensions</t>
  </si>
  <si>
    <t>PVC dimensions</t>
  </si>
  <si>
    <t>PVC telescoping decision</t>
  </si>
  <si>
    <t>Steel-plastic composite</t>
  </si>
  <si>
    <t>Source links</t>
  </si>
  <si>
    <t>12.032m L x 2.352m W x 2.698m H</t>
  </si>
  <si>
    <t>26,000 kg</t>
  </si>
  <si>
    <t>Two 5.8m or 6.0m pipe lengths placed along the 40ft container length, with hexagonal/staggered cross-section stacking.</t>
  </si>
  <si>
    <t>5 mm deducted from host pipe ID.</t>
  </si>
  <si>
    <t>PE100 1.0MPa treated as PN10/SDR17; supplier should confirm exact SDR/wall before execution.</t>
  </si>
  <si>
    <t>ASTM D2665/Schedule-40 DWV OD/wall used for 2, 3, and 4 inch PVC-U DWV pipe.</t>
  </si>
  <si>
    <t>Can telescope only if plain-end pipe and supplier accepts loading method; belled/socketed pipe should be treated as not telescopable.</t>
  </si>
  <si>
    <t>Marked non-telescopable due to source note that steel pipe cannot be nested.</t>
  </si>
  <si>
    <t>40ft HC dimensions: https://cscontainers.co.uk/guides/40ft-shipping-container-dimensions/ ; HDPE PN10 SDR17: https://www.piping-world.com/hdpe-pipe-dimensions-and-weights-pe100-pn10-sdr-17 ; PVC D2665 dimensions: https://www.engineeringtoolbox.com/ASTM-D2665-PVC-pipe-drain-waste-vent-pipe-d_2128.html</t>
  </si>
  <si>
    <t>source_file</t>
  </si>
  <si>
    <t>product</t>
  </si>
  <si>
    <t>family</t>
  </si>
  <si>
    <t>nominal_size</t>
  </si>
  <si>
    <t>dn</t>
  </si>
  <si>
    <t>od_mm</t>
  </si>
  <si>
    <t>wall_mm</t>
  </si>
  <si>
    <t>id_mm</t>
  </si>
  <si>
    <t>length_m</t>
  </si>
  <si>
    <t>order_qty</t>
  </si>
  <si>
    <t>kg_per_pipe</t>
  </si>
  <si>
    <t>total_weight_kg</t>
  </si>
  <si>
    <t>can_telescope</t>
  </si>
  <si>
    <t>telescope_note</t>
  </si>
  <si>
    <t>251127- Quotation for BYD (1).xlsx</t>
  </si>
  <si>
    <t>PI to BYD 宿舍采购二(加体积)(1).xlsx</t>
  </si>
  <si>
    <t>PI to BYD 宿舍采购一（加体积） (1).xlsx</t>
  </si>
  <si>
    <t>PE100 Water Supply Straight Pipe (1.0MPa) Black dn110 5.8M</t>
  </si>
  <si>
    <t>PE100 Water Supply Straight Pipe (1.0MPa) Black dn315 5.8M</t>
  </si>
  <si>
    <t>PE-Lined Steel-Plastic Composite Pipe, Type I (Cold Water), DN15, 6M-LH</t>
  </si>
  <si>
    <t>PE-Lined Steel-Plastic Composite Pipe, Type I (Cold Water), DN25, 6M-LH</t>
  </si>
  <si>
    <t>PE-Lined Steel-Plastic Composite Pipe, Type I (Cold Water), DN32, 6M-LH</t>
  </si>
  <si>
    <t>PE-Lined Steel-Plastic Composite Pipe, Type I (Cold Water), DN40, 6M-LH</t>
  </si>
  <si>
    <t>PE-Lined Steel-Plastic Composite Pipe, Type I (Cold Water), DN50, 6M-LH</t>
  </si>
  <si>
    <t>PE-Lined Steel-Plastic Composite Pipe, Type I (Cold Water), DN65, 6M-LH</t>
  </si>
  <si>
    <t>PE-Lined Steel-Plastic Composite Pipe, Type I (Cold Water), DN80, 6M-LH</t>
  </si>
  <si>
    <t>PE-Lined Steel-Plastic Composite Pipe, Type I (Cold Water), DN100, 6M-LH</t>
  </si>
  <si>
    <t>PE-Lined Steel-Plastic Composite Pipe, Type I (Cold Water), DN150, 6M-LH</t>
  </si>
  <si>
    <t>PP-R Cold Water Pipe S5 (1.25MPa) Gray dn32 5.8M</t>
  </si>
  <si>
    <t>PP-R Cold Water Pipe S5 (1.25MPa) Gray dn40 5.8M</t>
  </si>
  <si>
    <t>US Standard PVC-U DWV Drainage Pipe White 2" 5.8M</t>
  </si>
  <si>
    <t>US Standard PVC-U DWV Drainage Pipe White 3" 5.8M</t>
  </si>
  <si>
    <t>US Standard PVC-U DWV Drainage Pipe White 4" 5.8M</t>
  </si>
  <si>
    <t>HDPE PE100 PN10</t>
  </si>
  <si>
    <t>PE-lined steel-plastic composite</t>
  </si>
  <si>
    <t>PP-R</t>
  </si>
  <si>
    <t>PVC-U DWV</t>
  </si>
  <si>
    <t>DN110</t>
  </si>
  <si>
    <t>DN315</t>
  </si>
  <si>
    <t>DN15</t>
  </si>
  <si>
    <t>DN25</t>
  </si>
  <si>
    <t>DN32</t>
  </si>
  <si>
    <t>DN40</t>
  </si>
  <si>
    <t>DN50</t>
  </si>
  <si>
    <t>DN65</t>
  </si>
  <si>
    <t>DN80</t>
  </si>
  <si>
    <t>DN100</t>
  </si>
  <si>
    <t>DN150</t>
  </si>
  <si>
    <t>2"</t>
  </si>
  <si>
    <t>3"</t>
  </si>
  <si>
    <t>4"</t>
  </si>
  <si>
    <t>Plain-end HDPE assumed; verify caps/strapping before loading.</t>
  </si>
  <si>
    <t>Not telescopable: source workbook note says steel pipe cannot be nested.</t>
  </si>
  <si>
    <t>Check by ID/OD; DN20 rows excluded from this workbook.</t>
  </si>
  <si>
    <t>Geometrically telescopable if plain-end. Do not telescope belled/socketed pipe without supplier approval.</t>
  </si>
  <si>
    <t>length_positions</t>
  </si>
  <si>
    <t>cross_section_pipes</t>
  </si>
  <si>
    <t>hex_rows</t>
  </si>
  <si>
    <t>full_row_pipes</t>
  </si>
  <si>
    <t>offset_row_pipes</t>
  </si>
  <si>
    <t>orientation</t>
  </si>
  <si>
    <t>geometric_limit_pipes</t>
  </si>
  <si>
    <t>weight_limit_pipes</t>
  </si>
  <si>
    <t>recommended_pipes_per_40ft</t>
  </si>
  <si>
    <t>limiting_factor</t>
  </si>
  <si>
    <t>containers_for_order_qty</t>
  </si>
  <si>
    <t>planned_weight_kg</t>
  </si>
  <si>
    <t>payload_utilization_pct</t>
  </si>
  <si>
    <t>loading_pattern</t>
  </si>
  <si>
    <t>hex staggered, rows across width</t>
  </si>
  <si>
    <t>hex staggered, rows across height</t>
  </si>
  <si>
    <t>space</t>
  </si>
  <si>
    <t>weight</t>
  </si>
  <si>
    <t>2 length positions x 24 staggered rows (24/24 pipes per row)</t>
  </si>
  <si>
    <t>2 length positions x 8 staggered rows (8/8 pipes per row)</t>
  </si>
  <si>
    <t>2 length positions x 127 staggered rows (126/126 pipes per row)</t>
  </si>
  <si>
    <t>2 length positions x 81 staggered rows (80/80 pipes per row)</t>
  </si>
  <si>
    <t>2 length positions x 64 staggered rows (63/63 pipes per row)</t>
  </si>
  <si>
    <t>2 length positions x 56 staggered rows (55/55 pipes per row)</t>
  </si>
  <si>
    <t>2 length positions x 51 staggered rows (39/38 pipes per row)</t>
  </si>
  <si>
    <t>2 length positions x 37 staggered rows (36/36 pipes per row)</t>
  </si>
  <si>
    <t>2 length positions x 30 staggered rows (30/29 pipes per row)</t>
  </si>
  <si>
    <t>2 length positions x 27 staggered rows (20/20 pipes per row)</t>
  </si>
  <si>
    <t>2 length positions x 18 staggered rows (13/13 pipes per row)</t>
  </si>
  <si>
    <t>2 length positions x 97 staggered rows (73/73 pipes per row)</t>
  </si>
  <si>
    <t>2 length positions x 77 staggered rows (58/58 pipes per row)</t>
  </si>
  <si>
    <t>2 length positions x 51 staggered rows (38/38 pipes per row)</t>
  </si>
  <si>
    <t>host_size</t>
  </si>
  <si>
    <t>inner_size</t>
  </si>
  <si>
    <t>inner_pipes_per_host</t>
  </si>
  <si>
    <t>host_id_mm</t>
  </si>
  <si>
    <t>inner_od_mm</t>
  </si>
  <si>
    <t>groups_per_40ft</t>
  </si>
  <si>
    <t>host_pipes_per_40ft</t>
  </si>
  <si>
    <t>inner_pipes_per_40ft</t>
  </si>
  <si>
    <t>total_pipes_per_40ft</t>
  </si>
  <si>
    <t>group_weight_kg</t>
  </si>
  <si>
    <t>condition</t>
  </si>
  <si>
    <t>3" + 2" chain</t>
  </si>
  <si>
    <t>scenario</t>
  </si>
  <si>
    <t>order_quantities</t>
  </si>
  <si>
    <t>nested_pipe_qty</t>
  </si>
  <si>
    <t>containers_without_telescoping</t>
  </si>
  <si>
    <t>containers_with_telescoping</t>
  </si>
  <si>
    <t>containers_saved</t>
  </si>
  <si>
    <t>note</t>
  </si>
  <si>
    <t>DN110 nested into DN315</t>
  </si>
  <si>
    <t>4" hosts 3" hosts 2", then remaining 2" nested directly in 4"</t>
  </si>
  <si>
    <t>DN315=269,245; DN110=2,638</t>
  </si>
  <si>
    <t>4"=2,368; 3"=414; 2"=1,569</t>
  </si>
  <si>
    <t>Uses up to 4 DN110 inside each DN315; DN315 pipe count remains the container driver.</t>
  </si>
  <si>
    <t>Only valid for plain-end PVC. Treat socket/bell-end PVC as not telescopable unless supplier approves.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</si>
</sst>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20.7109375" style="1" customWidth="1"/>
  </cols>
  <sheetData>
    <row r="1" spans="1:2" s="2" customFormat="1">
      <c r="A1" s="3" t="s">
        <v>12</v>
      </c>
    </row>
    <row r="3" spans="1:2">
      <c r="A3" s="4" t="s">
        <v>0</v>
      </c>
      <c r="B3" s="4" t="s">
        <v>1</v>
      </c>
    </row>
    <row r="4" spans="1:2">
      <c r="A4" t="s">
        <v>2</v>
      </c>
      <c r="B4" s="1" t="s">
        <v>7</v>
      </c>
    </row>
    <row r="5" spans="1:2">
      <c r="A5" t="s">
        <v>3</v>
      </c>
      <c r="B5" s="1" t="s">
        <v>8</v>
      </c>
    </row>
    <row r="6" spans="1:2">
      <c r="A6" t="s">
        <v>4</v>
      </c>
      <c r="B6" s="1" t="s">
        <v>9</v>
      </c>
    </row>
    <row r="7" spans="1:2">
      <c r="A7" t="s">
        <v>5</v>
      </c>
      <c r="B7" s="1" t="s">
        <v>10</v>
      </c>
    </row>
    <row r="8" spans="1:2">
      <c r="A8" t="s">
        <v>6</v>
      </c>
      <c r="B8" s="1" t="s">
        <v>11</v>
      </c>
    </row>
  </sheetData>
  <autoFilter ref="A1:U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0.7109375" style="1" customWidth="1"/>
  </cols>
  <sheetData>
    <row r="1" spans="1:2" s="2" customFormat="1">
      <c r="A1" s="4" t="s">
        <v>13</v>
      </c>
      <c r="B1" s="4" t="s">
        <v>14</v>
      </c>
    </row>
    <row r="2" spans="1:2">
      <c r="A2" t="s">
        <v>15</v>
      </c>
      <c r="B2" s="1" t="s">
        <v>24</v>
      </c>
    </row>
    <row r="3" spans="1:2">
      <c r="A3" t="s">
        <v>16</v>
      </c>
      <c r="B3" s="1" t="s">
        <v>25</v>
      </c>
    </row>
    <row r="4" spans="1:2">
      <c r="A4" t="s">
        <v>17</v>
      </c>
      <c r="B4" s="1" t="s">
        <v>26</v>
      </c>
    </row>
    <row r="5" spans="1:2">
      <c r="A5" t="s">
        <v>18</v>
      </c>
      <c r="B5" s="1" t="s">
        <v>27</v>
      </c>
    </row>
    <row r="6" spans="1:2">
      <c r="A6" t="s">
        <v>19</v>
      </c>
      <c r="B6" s="1" t="s">
        <v>28</v>
      </c>
    </row>
    <row r="7" spans="1:2">
      <c r="A7" t="s">
        <v>20</v>
      </c>
      <c r="B7" s="1" t="s">
        <v>29</v>
      </c>
    </row>
    <row r="8" spans="1:2">
      <c r="A8" t="s">
        <v>21</v>
      </c>
      <c r="B8" s="1" t="s">
        <v>30</v>
      </c>
    </row>
    <row r="9" spans="1:2">
      <c r="A9" t="s">
        <v>22</v>
      </c>
      <c r="B9" s="1" t="s">
        <v>31</v>
      </c>
    </row>
    <row r="10" spans="1:2">
      <c r="A10" t="s">
        <v>23</v>
      </c>
      <c r="B10" s="1" t="s">
        <v>32</v>
      </c>
    </row>
  </sheetData>
  <autoFilter ref="A1:U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70.7109375" style="1" customWidth="1"/>
    <col min="3" max="3" width="24.7109375" customWidth="1"/>
    <col min="4" max="4" width="14.7109375" customWidth="1"/>
    <col min="5" max="5" width="8.7109375" customWidth="1"/>
    <col min="6" max="9" width="9.140625" style="5"/>
    <col min="10" max="10" width="9.140625" style="6"/>
    <col min="11" max="11" width="12.7109375" customWidth="1"/>
    <col min="12" max="12" width="9.140625" style="5"/>
    <col min="13" max="13" width="14.7109375" customWidth="1"/>
    <col min="14" max="14" width="16.7109375" customWidth="1"/>
    <col min="15" max="15" width="60.7109375" style="1" customWidth="1"/>
  </cols>
  <sheetData>
    <row r="1" spans="1:14" s="2" customFormat="1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</row>
    <row r="2" spans="1:14">
      <c r="A2" t="s">
        <v>47</v>
      </c>
      <c r="B2" s="1" t="s">
        <v>50</v>
      </c>
      <c r="C2" t="s">
        <v>66</v>
      </c>
      <c r="D2" t="s">
        <v>70</v>
      </c>
      <c r="E2">
        <v>110</v>
      </c>
      <c r="F2" s="5">
        <v>110</v>
      </c>
      <c r="G2" s="5">
        <v>6.47</v>
      </c>
      <c r="H2" s="5">
        <v>97.06</v>
      </c>
      <c r="I2" s="5">
        <v>5.8</v>
      </c>
      <c r="J2" s="6">
        <v>2638</v>
      </c>
      <c r="K2">
        <v>12.166</v>
      </c>
      <c r="L2" s="5">
        <v>32093.908</v>
      </c>
      <c r="M2" t="b">
        <v>1</v>
      </c>
      <c r="N2" t="s">
        <v>84</v>
      </c>
    </row>
    <row r="3" spans="1:14">
      <c r="A3" t="s">
        <v>47</v>
      </c>
      <c r="B3" s="1" t="s">
        <v>51</v>
      </c>
      <c r="C3" t="s">
        <v>66</v>
      </c>
      <c r="D3" t="s">
        <v>71</v>
      </c>
      <c r="E3">
        <v>315</v>
      </c>
      <c r="F3" s="5">
        <v>315</v>
      </c>
      <c r="G3" s="5">
        <v>18.53</v>
      </c>
      <c r="H3" s="5">
        <v>277.94</v>
      </c>
      <c r="I3" s="5">
        <v>5.8</v>
      </c>
      <c r="J3" s="6">
        <v>269245</v>
      </c>
      <c r="K3">
        <v>100.427</v>
      </c>
      <c r="L3" s="5">
        <v>27039467.615</v>
      </c>
      <c r="M3" t="b">
        <v>1</v>
      </c>
      <c r="N3" t="s">
        <v>84</v>
      </c>
    </row>
    <row r="4" spans="1:14">
      <c r="A4" t="s">
        <v>48</v>
      </c>
      <c r="B4" s="1" t="s">
        <v>52</v>
      </c>
      <c r="C4" t="s">
        <v>67</v>
      </c>
      <c r="D4" t="s">
        <v>72</v>
      </c>
      <c r="E4">
        <v>15</v>
      </c>
      <c r="F4" s="5">
        <v>21.3</v>
      </c>
      <c r="I4" s="5">
        <v>6</v>
      </c>
      <c r="J4" s="6">
        <v>717</v>
      </c>
      <c r="K4">
        <v>7.701000000000001</v>
      </c>
      <c r="L4" s="5">
        <v>5521.617</v>
      </c>
      <c r="M4" t="b">
        <v>0</v>
      </c>
      <c r="N4" t="s">
        <v>85</v>
      </c>
    </row>
    <row r="5" spans="1:14">
      <c r="A5" t="s">
        <v>48</v>
      </c>
      <c r="B5" s="1" t="s">
        <v>53</v>
      </c>
      <c r="C5" t="s">
        <v>67</v>
      </c>
      <c r="D5" t="s">
        <v>73</v>
      </c>
      <c r="E5">
        <v>25</v>
      </c>
      <c r="F5" s="5">
        <v>33.4</v>
      </c>
      <c r="I5" s="5">
        <v>6</v>
      </c>
      <c r="J5" s="6">
        <v>134</v>
      </c>
      <c r="K5">
        <v>14.735</v>
      </c>
      <c r="L5" s="5">
        <v>1974.49</v>
      </c>
      <c r="M5" t="b">
        <v>0</v>
      </c>
      <c r="N5" t="s">
        <v>85</v>
      </c>
    </row>
    <row r="6" spans="1:14">
      <c r="A6" t="s">
        <v>48</v>
      </c>
      <c r="B6" s="1" t="s">
        <v>54</v>
      </c>
      <c r="C6" t="s">
        <v>67</v>
      </c>
      <c r="D6" t="s">
        <v>74</v>
      </c>
      <c r="E6">
        <v>32</v>
      </c>
      <c r="F6" s="5">
        <v>42.2</v>
      </c>
      <c r="I6" s="5">
        <v>6</v>
      </c>
      <c r="J6" s="6">
        <v>384</v>
      </c>
      <c r="K6">
        <v>20.695</v>
      </c>
      <c r="L6" s="5">
        <v>7946.88</v>
      </c>
      <c r="M6" t="b">
        <v>0</v>
      </c>
      <c r="N6" t="s">
        <v>85</v>
      </c>
    </row>
    <row r="7" spans="1:14">
      <c r="A7" t="s">
        <v>48</v>
      </c>
      <c r="B7" s="1" t="s">
        <v>55</v>
      </c>
      <c r="C7" t="s">
        <v>67</v>
      </c>
      <c r="D7" t="s">
        <v>75</v>
      </c>
      <c r="E7">
        <v>40</v>
      </c>
      <c r="F7" s="5">
        <v>48.3</v>
      </c>
      <c r="I7" s="5">
        <v>6</v>
      </c>
      <c r="J7" s="6">
        <v>484</v>
      </c>
      <c r="K7">
        <v>23.655</v>
      </c>
      <c r="L7" s="5">
        <v>11449.02</v>
      </c>
      <c r="M7" t="b">
        <v>0</v>
      </c>
      <c r="N7" t="s">
        <v>85</v>
      </c>
    </row>
    <row r="8" spans="1:14">
      <c r="A8" t="s">
        <v>48</v>
      </c>
      <c r="B8" s="1" t="s">
        <v>56</v>
      </c>
      <c r="C8" t="s">
        <v>67</v>
      </c>
      <c r="D8" t="s">
        <v>76</v>
      </c>
      <c r="E8">
        <v>50</v>
      </c>
      <c r="F8" s="5">
        <v>60.3</v>
      </c>
      <c r="I8" s="5">
        <v>6</v>
      </c>
      <c r="J8" s="6">
        <v>200</v>
      </c>
      <c r="K8">
        <v>32.023</v>
      </c>
      <c r="L8" s="5">
        <v>6404.6</v>
      </c>
      <c r="M8" t="b">
        <v>0</v>
      </c>
      <c r="N8" t="s">
        <v>85</v>
      </c>
    </row>
    <row r="9" spans="1:14">
      <c r="A9" t="s">
        <v>48</v>
      </c>
      <c r="B9" s="1" t="s">
        <v>57</v>
      </c>
      <c r="C9" t="s">
        <v>67</v>
      </c>
      <c r="D9" t="s">
        <v>77</v>
      </c>
      <c r="E9">
        <v>65</v>
      </c>
      <c r="F9" s="5">
        <v>73</v>
      </c>
      <c r="I9" s="5">
        <v>6</v>
      </c>
      <c r="J9" s="6">
        <v>67</v>
      </c>
      <c r="K9">
        <v>43.298</v>
      </c>
      <c r="L9" s="5">
        <v>2900.966</v>
      </c>
      <c r="M9" t="b">
        <v>0</v>
      </c>
      <c r="N9" t="s">
        <v>85</v>
      </c>
    </row>
    <row r="10" spans="1:14">
      <c r="A10" t="s">
        <v>48</v>
      </c>
      <c r="B10" s="1" t="s">
        <v>58</v>
      </c>
      <c r="C10" t="s">
        <v>67</v>
      </c>
      <c r="D10" t="s">
        <v>78</v>
      </c>
      <c r="E10">
        <v>80</v>
      </c>
      <c r="F10" s="5">
        <v>88.90000000000001</v>
      </c>
      <c r="I10" s="5">
        <v>6</v>
      </c>
      <c r="J10" s="6">
        <v>150</v>
      </c>
      <c r="K10">
        <v>51.748</v>
      </c>
      <c r="L10" s="5">
        <v>7762.2</v>
      </c>
      <c r="M10" t="b">
        <v>0</v>
      </c>
      <c r="N10" t="s">
        <v>85</v>
      </c>
    </row>
    <row r="11" spans="1:14">
      <c r="A11" t="s">
        <v>48</v>
      </c>
      <c r="B11" s="1" t="s">
        <v>59</v>
      </c>
      <c r="C11" t="s">
        <v>67</v>
      </c>
      <c r="D11" t="s">
        <v>79</v>
      </c>
      <c r="E11">
        <v>100</v>
      </c>
      <c r="F11" s="5">
        <v>114.3</v>
      </c>
      <c r="I11" s="5">
        <v>6</v>
      </c>
      <c r="J11" s="6">
        <v>200</v>
      </c>
      <c r="K11">
        <v>67.468</v>
      </c>
      <c r="L11" s="5">
        <v>13493.6</v>
      </c>
      <c r="M11" t="b">
        <v>0</v>
      </c>
      <c r="N11" t="s">
        <v>85</v>
      </c>
    </row>
    <row r="12" spans="1:14">
      <c r="A12" t="s">
        <v>48</v>
      </c>
      <c r="B12" s="1" t="s">
        <v>60</v>
      </c>
      <c r="C12" t="s">
        <v>67</v>
      </c>
      <c r="D12" t="s">
        <v>80</v>
      </c>
      <c r="E12">
        <v>150</v>
      </c>
      <c r="F12" s="5">
        <v>168.3</v>
      </c>
      <c r="I12" s="5">
        <v>6</v>
      </c>
      <c r="J12" s="6">
        <v>184</v>
      </c>
      <c r="K12">
        <v>111.373</v>
      </c>
      <c r="L12" s="5">
        <v>20492.632</v>
      </c>
      <c r="M12" t="b">
        <v>0</v>
      </c>
      <c r="N12" t="s">
        <v>85</v>
      </c>
    </row>
    <row r="13" spans="1:14">
      <c r="A13" t="s">
        <v>49</v>
      </c>
      <c r="B13" s="1" t="s">
        <v>61</v>
      </c>
      <c r="C13" t="s">
        <v>68</v>
      </c>
      <c r="D13" t="s">
        <v>74</v>
      </c>
      <c r="E13">
        <v>32</v>
      </c>
      <c r="F13" s="5">
        <v>32</v>
      </c>
      <c r="G13" s="5">
        <v>2.9</v>
      </c>
      <c r="H13" s="5">
        <v>26.2</v>
      </c>
      <c r="I13" s="5">
        <v>5.8</v>
      </c>
      <c r="J13" s="6">
        <v>1156</v>
      </c>
      <c r="K13">
        <v>1.421</v>
      </c>
      <c r="L13" s="5">
        <v>1642.676</v>
      </c>
      <c r="M13" t="b">
        <v>1</v>
      </c>
      <c r="N13" t="s">
        <v>86</v>
      </c>
    </row>
    <row r="14" spans="1:14">
      <c r="A14" t="s">
        <v>49</v>
      </c>
      <c r="B14" s="1" t="s">
        <v>62</v>
      </c>
      <c r="C14" t="s">
        <v>68</v>
      </c>
      <c r="D14" t="s">
        <v>75</v>
      </c>
      <c r="E14">
        <v>40</v>
      </c>
      <c r="F14" s="5">
        <v>40</v>
      </c>
      <c r="G14" s="5">
        <v>3.7</v>
      </c>
      <c r="H14" s="5">
        <v>32.6</v>
      </c>
      <c r="I14" s="5">
        <v>5.8</v>
      </c>
      <c r="J14" s="6">
        <v>845</v>
      </c>
      <c r="K14">
        <v>2.303</v>
      </c>
      <c r="L14" s="5">
        <v>1946.035</v>
      </c>
      <c r="M14" t="b">
        <v>1</v>
      </c>
      <c r="N14" t="s">
        <v>86</v>
      </c>
    </row>
    <row r="15" spans="1:14">
      <c r="A15" t="s">
        <v>49</v>
      </c>
      <c r="B15" s="1" t="s">
        <v>63</v>
      </c>
      <c r="C15" t="s">
        <v>69</v>
      </c>
      <c r="D15" t="s">
        <v>81</v>
      </c>
      <c r="E15">
        <v>50</v>
      </c>
      <c r="F15" s="5">
        <v>60.33</v>
      </c>
      <c r="G15" s="5">
        <v>3.91</v>
      </c>
      <c r="H15" s="5">
        <v>52.51</v>
      </c>
      <c r="I15" s="5">
        <v>5.8</v>
      </c>
      <c r="J15" s="6">
        <v>1569</v>
      </c>
      <c r="K15">
        <v>6.409</v>
      </c>
      <c r="L15" s="5">
        <v>10055.721</v>
      </c>
      <c r="M15" t="b">
        <v>1</v>
      </c>
      <c r="N15" t="s">
        <v>87</v>
      </c>
    </row>
    <row r="16" spans="1:14">
      <c r="A16" t="s">
        <v>49</v>
      </c>
      <c r="B16" s="1" t="s">
        <v>64</v>
      </c>
      <c r="C16" t="s">
        <v>69</v>
      </c>
      <c r="D16" t="s">
        <v>82</v>
      </c>
      <c r="E16">
        <v>75</v>
      </c>
      <c r="F16" s="5">
        <v>88.90000000000001</v>
      </c>
      <c r="G16" s="5">
        <v>5.49</v>
      </c>
      <c r="H16" s="5">
        <v>77.92</v>
      </c>
      <c r="I16" s="5">
        <v>5.8</v>
      </c>
      <c r="J16" s="6">
        <v>414</v>
      </c>
      <c r="K16">
        <v>12.922</v>
      </c>
      <c r="L16" s="5">
        <v>5349.708</v>
      </c>
      <c r="M16" t="b">
        <v>1</v>
      </c>
      <c r="N16" t="s">
        <v>87</v>
      </c>
    </row>
    <row r="17" spans="1:14">
      <c r="A17" t="s">
        <v>49</v>
      </c>
      <c r="B17" s="1" t="s">
        <v>65</v>
      </c>
      <c r="C17" t="s">
        <v>69</v>
      </c>
      <c r="D17" t="s">
        <v>83</v>
      </c>
      <c r="E17">
        <v>100</v>
      </c>
      <c r="F17" s="5">
        <v>114.3</v>
      </c>
      <c r="G17" s="5">
        <v>6.02</v>
      </c>
      <c r="H17" s="5">
        <v>102.26</v>
      </c>
      <c r="I17" s="5">
        <v>5.8</v>
      </c>
      <c r="J17" s="6">
        <v>2368</v>
      </c>
      <c r="K17">
        <v>18.641</v>
      </c>
      <c r="L17" s="5">
        <v>44141.888</v>
      </c>
      <c r="M17" t="b">
        <v>1</v>
      </c>
      <c r="N17" t="s">
        <v>87</v>
      </c>
    </row>
  </sheetData>
  <autoFilter ref="A1:U1"/>
  <conditionalFormatting sqref="A2:A17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70.7109375" style="1" customWidth="1"/>
    <col min="4" max="5" width="9.140625" style="5"/>
    <col min="6" max="6" width="12.7109375" customWidth="1"/>
    <col min="7" max="7" width="9.140625" style="6"/>
    <col min="8" max="8" width="15.7109375" customWidth="1"/>
    <col min="9" max="9" width="9.140625" style="6"/>
    <col min="10" max="10" width="10.7109375" customWidth="1"/>
    <col min="11" max="12" width="9.140625" style="6"/>
    <col min="13" max="13" width="15.7109375" customWidth="1"/>
    <col min="14" max="14" width="9.140625" style="6"/>
    <col min="15" max="15" width="9.140625" style="5"/>
    <col min="16" max="16" width="9.140625" style="6"/>
    <col min="17" max="17" width="16.7109375" customWidth="1"/>
    <col min="18" max="18" width="9.140625" style="6"/>
    <col min="19" max="19" width="9.140625" style="5"/>
    <col min="20" max="20" width="14.7109375" style="7" customWidth="1"/>
    <col min="21" max="21" width="30.7109375" customWidth="1"/>
  </cols>
  <sheetData>
    <row r="1" spans="1:22" s="2" customFormat="1">
      <c r="A1" s="4" t="s">
        <v>35</v>
      </c>
      <c r="B1" s="4" t="s">
        <v>36</v>
      </c>
      <c r="C1" s="4" t="s">
        <v>34</v>
      </c>
      <c r="D1" s="4" t="s">
        <v>41</v>
      </c>
      <c r="E1" s="4" t="s">
        <v>38</v>
      </c>
      <c r="F1" s="4" t="s">
        <v>43</v>
      </c>
      <c r="G1" s="4" t="s">
        <v>42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  <c r="P1" s="4" t="s">
        <v>96</v>
      </c>
      <c r="Q1" s="4" t="s">
        <v>97</v>
      </c>
      <c r="R1" s="4" t="s">
        <v>98</v>
      </c>
      <c r="S1" s="4" t="s">
        <v>99</v>
      </c>
      <c r="T1" s="4" t="s">
        <v>100</v>
      </c>
      <c r="U1" s="4" t="s">
        <v>101</v>
      </c>
      <c r="V1" s="4" t="s">
        <v>33</v>
      </c>
    </row>
    <row r="2" spans="1:22">
      <c r="A2" t="s">
        <v>66</v>
      </c>
      <c r="B2" t="s">
        <v>70</v>
      </c>
      <c r="C2" s="1" t="s">
        <v>50</v>
      </c>
      <c r="D2" s="5">
        <v>5.8</v>
      </c>
      <c r="E2" s="5">
        <v>110</v>
      </c>
      <c r="F2">
        <v>12.166</v>
      </c>
      <c r="G2" s="6">
        <v>2638</v>
      </c>
      <c r="H2">
        <v>2</v>
      </c>
      <c r="I2" s="6">
        <v>576</v>
      </c>
      <c r="J2">
        <v>24</v>
      </c>
      <c r="K2" s="6">
        <v>24</v>
      </c>
      <c r="L2" s="6">
        <v>24</v>
      </c>
      <c r="M2" t="s">
        <v>102</v>
      </c>
      <c r="N2" s="6">
        <v>1152</v>
      </c>
      <c r="O2" s="5">
        <v>2137</v>
      </c>
      <c r="P2" s="6">
        <v>1152</v>
      </c>
      <c r="Q2" t="s">
        <v>104</v>
      </c>
      <c r="R2" s="6">
        <v>3</v>
      </c>
      <c r="S2" s="5">
        <v>14015.232</v>
      </c>
      <c r="T2" s="7">
        <v>53.90473846153846</v>
      </c>
      <c r="U2" t="s">
        <v>106</v>
      </c>
      <c r="V2" t="s">
        <v>47</v>
      </c>
    </row>
    <row r="3" spans="1:22">
      <c r="A3" t="s">
        <v>66</v>
      </c>
      <c r="B3" t="s">
        <v>71</v>
      </c>
      <c r="C3" s="1" t="s">
        <v>51</v>
      </c>
      <c r="D3" s="5">
        <v>5.8</v>
      </c>
      <c r="E3" s="5">
        <v>315</v>
      </c>
      <c r="F3">
        <v>100.427</v>
      </c>
      <c r="G3" s="6">
        <v>269245</v>
      </c>
      <c r="H3">
        <v>2</v>
      </c>
      <c r="I3" s="6">
        <v>64</v>
      </c>
      <c r="J3">
        <v>8</v>
      </c>
      <c r="K3" s="6">
        <v>8</v>
      </c>
      <c r="L3" s="6">
        <v>8</v>
      </c>
      <c r="M3" t="s">
        <v>102</v>
      </c>
      <c r="N3" s="6">
        <v>128</v>
      </c>
      <c r="O3" s="5">
        <v>258</v>
      </c>
      <c r="P3" s="6">
        <v>128</v>
      </c>
      <c r="Q3" t="s">
        <v>104</v>
      </c>
      <c r="R3" s="6">
        <v>2104</v>
      </c>
      <c r="S3" s="5">
        <v>12854.656</v>
      </c>
      <c r="T3" s="7">
        <v>49.44098461538461</v>
      </c>
      <c r="U3" t="s">
        <v>107</v>
      </c>
      <c r="V3" t="s">
        <v>47</v>
      </c>
    </row>
    <row r="4" spans="1:22">
      <c r="A4" t="s">
        <v>67</v>
      </c>
      <c r="B4" t="s">
        <v>72</v>
      </c>
      <c r="C4" s="1" t="s">
        <v>52</v>
      </c>
      <c r="D4" s="5">
        <v>6</v>
      </c>
      <c r="E4" s="5">
        <v>21.3</v>
      </c>
      <c r="F4">
        <v>7.701000000000001</v>
      </c>
      <c r="G4" s="6">
        <v>717</v>
      </c>
      <c r="H4">
        <v>2</v>
      </c>
      <c r="I4" s="6">
        <v>16002</v>
      </c>
      <c r="J4">
        <v>127</v>
      </c>
      <c r="K4" s="6">
        <v>126</v>
      </c>
      <c r="L4" s="6">
        <v>126</v>
      </c>
      <c r="M4" t="s">
        <v>102</v>
      </c>
      <c r="N4" s="6">
        <v>32004</v>
      </c>
      <c r="O4" s="5">
        <v>3376</v>
      </c>
      <c r="P4" s="6">
        <v>3376</v>
      </c>
      <c r="Q4" t="s">
        <v>105</v>
      </c>
      <c r="R4" s="6">
        <v>1</v>
      </c>
      <c r="S4" s="5">
        <v>25998.576</v>
      </c>
      <c r="T4" s="7">
        <v>99.99452307692309</v>
      </c>
      <c r="U4" t="s">
        <v>108</v>
      </c>
      <c r="V4" t="s">
        <v>48</v>
      </c>
    </row>
    <row r="5" spans="1:22">
      <c r="A5" t="s">
        <v>67</v>
      </c>
      <c r="B5" t="s">
        <v>73</v>
      </c>
      <c r="C5" s="1" t="s">
        <v>53</v>
      </c>
      <c r="D5" s="5">
        <v>6</v>
      </c>
      <c r="E5" s="5">
        <v>33.4</v>
      </c>
      <c r="F5">
        <v>14.735</v>
      </c>
      <c r="G5" s="6">
        <v>134</v>
      </c>
      <c r="H5">
        <v>2</v>
      </c>
      <c r="I5" s="6">
        <v>6480</v>
      </c>
      <c r="J5">
        <v>81</v>
      </c>
      <c r="K5" s="6">
        <v>80</v>
      </c>
      <c r="L5" s="6">
        <v>80</v>
      </c>
      <c r="M5" t="s">
        <v>102</v>
      </c>
      <c r="N5" s="6">
        <v>12960</v>
      </c>
      <c r="O5" s="5">
        <v>1764</v>
      </c>
      <c r="P5" s="6">
        <v>1764</v>
      </c>
      <c r="Q5" t="s">
        <v>105</v>
      </c>
      <c r="R5" s="6">
        <v>1</v>
      </c>
      <c r="S5" s="5">
        <v>25992.54</v>
      </c>
      <c r="T5" s="7">
        <v>99.97130769230769</v>
      </c>
      <c r="U5" t="s">
        <v>109</v>
      </c>
      <c r="V5" t="s">
        <v>48</v>
      </c>
    </row>
    <row r="6" spans="1:22">
      <c r="A6" t="s">
        <v>67</v>
      </c>
      <c r="B6" t="s">
        <v>74</v>
      </c>
      <c r="C6" s="1" t="s">
        <v>54</v>
      </c>
      <c r="D6" s="5">
        <v>6</v>
      </c>
      <c r="E6" s="5">
        <v>42.2</v>
      </c>
      <c r="F6">
        <v>20.695</v>
      </c>
      <c r="G6" s="6">
        <v>384</v>
      </c>
      <c r="H6">
        <v>2</v>
      </c>
      <c r="I6" s="6">
        <v>4032</v>
      </c>
      <c r="J6">
        <v>64</v>
      </c>
      <c r="K6" s="6">
        <v>63</v>
      </c>
      <c r="L6" s="6">
        <v>63</v>
      </c>
      <c r="M6" t="s">
        <v>102</v>
      </c>
      <c r="N6" s="6">
        <v>8064</v>
      </c>
      <c r="O6" s="5">
        <v>1256</v>
      </c>
      <c r="P6" s="6">
        <v>1256</v>
      </c>
      <c r="Q6" t="s">
        <v>105</v>
      </c>
      <c r="R6" s="6">
        <v>1</v>
      </c>
      <c r="S6" s="5">
        <v>25992.92</v>
      </c>
      <c r="T6" s="7">
        <v>99.97276923076925</v>
      </c>
      <c r="U6" t="s">
        <v>110</v>
      </c>
      <c r="V6" t="s">
        <v>48</v>
      </c>
    </row>
    <row r="7" spans="1:22">
      <c r="A7" t="s">
        <v>67</v>
      </c>
      <c r="B7" t="s">
        <v>75</v>
      </c>
      <c r="C7" s="1" t="s">
        <v>55</v>
      </c>
      <c r="D7" s="5">
        <v>6</v>
      </c>
      <c r="E7" s="5">
        <v>48.3</v>
      </c>
      <c r="F7">
        <v>23.655</v>
      </c>
      <c r="G7" s="6">
        <v>484</v>
      </c>
      <c r="H7">
        <v>2</v>
      </c>
      <c r="I7" s="6">
        <v>3080</v>
      </c>
      <c r="J7">
        <v>56</v>
      </c>
      <c r="K7" s="6">
        <v>55</v>
      </c>
      <c r="L7" s="6">
        <v>55</v>
      </c>
      <c r="M7" t="s">
        <v>102</v>
      </c>
      <c r="N7" s="6">
        <v>6160</v>
      </c>
      <c r="O7" s="5">
        <v>1099</v>
      </c>
      <c r="P7" s="6">
        <v>1099</v>
      </c>
      <c r="Q7" t="s">
        <v>105</v>
      </c>
      <c r="R7" s="6">
        <v>1</v>
      </c>
      <c r="S7" s="5">
        <v>25996.845</v>
      </c>
      <c r="T7" s="7">
        <v>99.98786538461539</v>
      </c>
      <c r="U7" t="s">
        <v>111</v>
      </c>
      <c r="V7" t="s">
        <v>48</v>
      </c>
    </row>
    <row r="8" spans="1:22">
      <c r="A8" t="s">
        <v>67</v>
      </c>
      <c r="B8" t="s">
        <v>76</v>
      </c>
      <c r="C8" s="1" t="s">
        <v>56</v>
      </c>
      <c r="D8" s="5">
        <v>6</v>
      </c>
      <c r="E8" s="5">
        <v>60.3</v>
      </c>
      <c r="F8">
        <v>32.023</v>
      </c>
      <c r="G8" s="6">
        <v>200</v>
      </c>
      <c r="H8">
        <v>2</v>
      </c>
      <c r="I8" s="6">
        <v>1964</v>
      </c>
      <c r="J8">
        <v>51</v>
      </c>
      <c r="K8" s="6">
        <v>39</v>
      </c>
      <c r="L8" s="6">
        <v>38</v>
      </c>
      <c r="M8" t="s">
        <v>103</v>
      </c>
      <c r="N8" s="6">
        <v>3928</v>
      </c>
      <c r="O8" s="5">
        <v>811</v>
      </c>
      <c r="P8" s="6">
        <v>811</v>
      </c>
      <c r="Q8" t="s">
        <v>105</v>
      </c>
      <c r="R8" s="6">
        <v>1</v>
      </c>
      <c r="S8" s="5">
        <v>25970.653</v>
      </c>
      <c r="T8" s="7">
        <v>99.88712692307693</v>
      </c>
      <c r="U8" t="s">
        <v>112</v>
      </c>
      <c r="V8" t="s">
        <v>48</v>
      </c>
    </row>
    <row r="9" spans="1:22">
      <c r="A9" t="s">
        <v>67</v>
      </c>
      <c r="B9" t="s">
        <v>77</v>
      </c>
      <c r="C9" s="1" t="s">
        <v>57</v>
      </c>
      <c r="D9" s="5">
        <v>6</v>
      </c>
      <c r="E9" s="5">
        <v>73</v>
      </c>
      <c r="F9">
        <v>43.298</v>
      </c>
      <c r="G9" s="6">
        <v>67</v>
      </c>
      <c r="H9">
        <v>2</v>
      </c>
      <c r="I9" s="6">
        <v>1332</v>
      </c>
      <c r="J9">
        <v>37</v>
      </c>
      <c r="K9" s="6">
        <v>36</v>
      </c>
      <c r="L9" s="6">
        <v>36</v>
      </c>
      <c r="M9" t="s">
        <v>102</v>
      </c>
      <c r="N9" s="6">
        <v>2664</v>
      </c>
      <c r="O9" s="5">
        <v>600</v>
      </c>
      <c r="P9" s="6">
        <v>600</v>
      </c>
      <c r="Q9" t="s">
        <v>105</v>
      </c>
      <c r="R9" s="6">
        <v>1</v>
      </c>
      <c r="S9" s="5">
        <v>25978.8</v>
      </c>
      <c r="T9" s="7">
        <v>99.91846153846154</v>
      </c>
      <c r="U9" t="s">
        <v>113</v>
      </c>
      <c r="V9" t="s">
        <v>48</v>
      </c>
    </row>
    <row r="10" spans="1:22">
      <c r="A10" t="s">
        <v>67</v>
      </c>
      <c r="B10" t="s">
        <v>78</v>
      </c>
      <c r="C10" s="1" t="s">
        <v>58</v>
      </c>
      <c r="D10" s="5">
        <v>6</v>
      </c>
      <c r="E10" s="5">
        <v>88.90000000000001</v>
      </c>
      <c r="F10">
        <v>51.748</v>
      </c>
      <c r="G10" s="6">
        <v>150</v>
      </c>
      <c r="H10">
        <v>2</v>
      </c>
      <c r="I10" s="6">
        <v>885</v>
      </c>
      <c r="J10">
        <v>30</v>
      </c>
      <c r="K10" s="6">
        <v>30</v>
      </c>
      <c r="L10" s="6">
        <v>29</v>
      </c>
      <c r="M10" t="s">
        <v>102</v>
      </c>
      <c r="N10" s="6">
        <v>1770</v>
      </c>
      <c r="O10" s="5">
        <v>502</v>
      </c>
      <c r="P10" s="6">
        <v>502</v>
      </c>
      <c r="Q10" t="s">
        <v>105</v>
      </c>
      <c r="R10" s="6">
        <v>1</v>
      </c>
      <c r="S10" s="5">
        <v>25977.496</v>
      </c>
      <c r="T10" s="7">
        <v>99.91344615384615</v>
      </c>
      <c r="U10" t="s">
        <v>114</v>
      </c>
      <c r="V10" t="s">
        <v>48</v>
      </c>
    </row>
    <row r="11" spans="1:22">
      <c r="A11" t="s">
        <v>67</v>
      </c>
      <c r="B11" t="s">
        <v>79</v>
      </c>
      <c r="C11" s="1" t="s">
        <v>59</v>
      </c>
      <c r="D11" s="5">
        <v>6</v>
      </c>
      <c r="E11" s="5">
        <v>114.3</v>
      </c>
      <c r="F11">
        <v>67.468</v>
      </c>
      <c r="G11" s="6">
        <v>200</v>
      </c>
      <c r="H11">
        <v>2</v>
      </c>
      <c r="I11" s="6">
        <v>540</v>
      </c>
      <c r="J11">
        <v>27</v>
      </c>
      <c r="K11" s="6">
        <v>20</v>
      </c>
      <c r="L11" s="6">
        <v>20</v>
      </c>
      <c r="M11" t="s">
        <v>103</v>
      </c>
      <c r="N11" s="6">
        <v>1080</v>
      </c>
      <c r="O11" s="5">
        <v>385</v>
      </c>
      <c r="P11" s="6">
        <v>385</v>
      </c>
      <c r="Q11" t="s">
        <v>105</v>
      </c>
      <c r="R11" s="6">
        <v>1</v>
      </c>
      <c r="S11" s="5">
        <v>25975.18</v>
      </c>
      <c r="T11" s="7">
        <v>99.90453846153846</v>
      </c>
      <c r="U11" t="s">
        <v>115</v>
      </c>
      <c r="V11" t="s">
        <v>48</v>
      </c>
    </row>
    <row r="12" spans="1:22">
      <c r="A12" t="s">
        <v>67</v>
      </c>
      <c r="B12" t="s">
        <v>80</v>
      </c>
      <c r="C12" s="1" t="s">
        <v>60</v>
      </c>
      <c r="D12" s="5">
        <v>6</v>
      </c>
      <c r="E12" s="5">
        <v>168.3</v>
      </c>
      <c r="F12">
        <v>111.373</v>
      </c>
      <c r="G12" s="6">
        <v>184</v>
      </c>
      <c r="H12">
        <v>2</v>
      </c>
      <c r="I12" s="6">
        <v>234</v>
      </c>
      <c r="J12">
        <v>18</v>
      </c>
      <c r="K12" s="6">
        <v>13</v>
      </c>
      <c r="L12" s="6">
        <v>13</v>
      </c>
      <c r="M12" t="s">
        <v>103</v>
      </c>
      <c r="N12" s="6">
        <v>468</v>
      </c>
      <c r="O12" s="5">
        <v>233</v>
      </c>
      <c r="P12" s="6">
        <v>233</v>
      </c>
      <c r="Q12" t="s">
        <v>105</v>
      </c>
      <c r="R12" s="6">
        <v>1</v>
      </c>
      <c r="S12" s="5">
        <v>25949.909</v>
      </c>
      <c r="T12" s="7">
        <v>99.80734230769231</v>
      </c>
      <c r="U12" t="s">
        <v>116</v>
      </c>
      <c r="V12" t="s">
        <v>48</v>
      </c>
    </row>
    <row r="13" spans="1:22">
      <c r="A13" t="s">
        <v>68</v>
      </c>
      <c r="B13" t="s">
        <v>74</v>
      </c>
      <c r="C13" s="1" t="s">
        <v>61</v>
      </c>
      <c r="D13" s="5">
        <v>5.8</v>
      </c>
      <c r="E13" s="5">
        <v>32</v>
      </c>
      <c r="F13">
        <v>1.421</v>
      </c>
      <c r="G13" s="6">
        <v>1156</v>
      </c>
      <c r="H13">
        <v>2</v>
      </c>
      <c r="I13" s="6">
        <v>7081</v>
      </c>
      <c r="J13">
        <v>97</v>
      </c>
      <c r="K13" s="6">
        <v>73</v>
      </c>
      <c r="L13" s="6">
        <v>73</v>
      </c>
      <c r="M13" t="s">
        <v>103</v>
      </c>
      <c r="N13" s="6">
        <v>14162</v>
      </c>
      <c r="O13" s="5">
        <v>18296</v>
      </c>
      <c r="P13" s="6">
        <v>14162</v>
      </c>
      <c r="Q13" t="s">
        <v>104</v>
      </c>
      <c r="R13" s="6">
        <v>1</v>
      </c>
      <c r="S13" s="5">
        <v>20124.202</v>
      </c>
      <c r="T13" s="7">
        <v>77.40077692307693</v>
      </c>
      <c r="U13" t="s">
        <v>117</v>
      </c>
      <c r="V13" t="s">
        <v>49</v>
      </c>
    </row>
    <row r="14" spans="1:22">
      <c r="A14" t="s">
        <v>68</v>
      </c>
      <c r="B14" t="s">
        <v>75</v>
      </c>
      <c r="C14" s="1" t="s">
        <v>62</v>
      </c>
      <c r="D14" s="5">
        <v>5.8</v>
      </c>
      <c r="E14" s="5">
        <v>40</v>
      </c>
      <c r="F14">
        <v>2.303</v>
      </c>
      <c r="G14" s="6">
        <v>845</v>
      </c>
      <c r="H14">
        <v>2</v>
      </c>
      <c r="I14" s="6">
        <v>4466</v>
      </c>
      <c r="J14">
        <v>77</v>
      </c>
      <c r="K14" s="6">
        <v>58</v>
      </c>
      <c r="L14" s="6">
        <v>58</v>
      </c>
      <c r="M14" t="s">
        <v>103</v>
      </c>
      <c r="N14" s="6">
        <v>8932</v>
      </c>
      <c r="O14" s="5">
        <v>11289</v>
      </c>
      <c r="P14" s="6">
        <v>8932</v>
      </c>
      <c r="Q14" t="s">
        <v>104</v>
      </c>
      <c r="R14" s="6">
        <v>1</v>
      </c>
      <c r="S14" s="5">
        <v>20570.396</v>
      </c>
      <c r="T14" s="7">
        <v>79.11690769230769</v>
      </c>
      <c r="U14" t="s">
        <v>118</v>
      </c>
      <c r="V14" t="s">
        <v>49</v>
      </c>
    </row>
    <row r="15" spans="1:22">
      <c r="A15" t="s">
        <v>69</v>
      </c>
      <c r="B15" t="s">
        <v>81</v>
      </c>
      <c r="C15" s="1" t="s">
        <v>63</v>
      </c>
      <c r="D15" s="5">
        <v>5.8</v>
      </c>
      <c r="E15" s="5">
        <v>60.33</v>
      </c>
      <c r="F15">
        <v>6.409</v>
      </c>
      <c r="G15" s="6">
        <v>1569</v>
      </c>
      <c r="H15">
        <v>2</v>
      </c>
      <c r="I15" s="6">
        <v>1938</v>
      </c>
      <c r="J15">
        <v>51</v>
      </c>
      <c r="K15" s="6">
        <v>38</v>
      </c>
      <c r="L15" s="6">
        <v>38</v>
      </c>
      <c r="M15" t="s">
        <v>103</v>
      </c>
      <c r="N15" s="6">
        <v>3876</v>
      </c>
      <c r="O15" s="5">
        <v>4056</v>
      </c>
      <c r="P15" s="6">
        <v>3876</v>
      </c>
      <c r="Q15" t="s">
        <v>104</v>
      </c>
      <c r="R15" s="6">
        <v>1</v>
      </c>
      <c r="S15" s="5">
        <v>24841.284</v>
      </c>
      <c r="T15" s="7">
        <v>95.54340000000001</v>
      </c>
      <c r="U15" t="s">
        <v>119</v>
      </c>
      <c r="V15" t="s">
        <v>49</v>
      </c>
    </row>
    <row r="16" spans="1:22">
      <c r="A16" t="s">
        <v>69</v>
      </c>
      <c r="B16" t="s">
        <v>82</v>
      </c>
      <c r="C16" s="1" t="s">
        <v>64</v>
      </c>
      <c r="D16" s="5">
        <v>5.8</v>
      </c>
      <c r="E16" s="5">
        <v>88.90000000000001</v>
      </c>
      <c r="F16">
        <v>12.922</v>
      </c>
      <c r="G16" s="6">
        <v>414</v>
      </c>
      <c r="H16">
        <v>2</v>
      </c>
      <c r="I16" s="6">
        <v>885</v>
      </c>
      <c r="J16">
        <v>30</v>
      </c>
      <c r="K16" s="6">
        <v>30</v>
      </c>
      <c r="L16" s="6">
        <v>29</v>
      </c>
      <c r="M16" t="s">
        <v>102</v>
      </c>
      <c r="N16" s="6">
        <v>1770</v>
      </c>
      <c r="O16" s="5">
        <v>2012</v>
      </c>
      <c r="P16" s="6">
        <v>1770</v>
      </c>
      <c r="Q16" t="s">
        <v>104</v>
      </c>
      <c r="R16" s="6">
        <v>1</v>
      </c>
      <c r="S16" s="5">
        <v>22871.94</v>
      </c>
      <c r="T16" s="7">
        <v>87.96899999999999</v>
      </c>
      <c r="U16" t="s">
        <v>114</v>
      </c>
      <c r="V16" t="s">
        <v>49</v>
      </c>
    </row>
    <row r="17" spans="1:22">
      <c r="A17" t="s">
        <v>69</v>
      </c>
      <c r="B17" t="s">
        <v>83</v>
      </c>
      <c r="C17" s="1" t="s">
        <v>65</v>
      </c>
      <c r="D17" s="5">
        <v>5.8</v>
      </c>
      <c r="E17" s="5">
        <v>114.3</v>
      </c>
      <c r="F17">
        <v>18.641</v>
      </c>
      <c r="G17" s="6">
        <v>2368</v>
      </c>
      <c r="H17">
        <v>2</v>
      </c>
      <c r="I17" s="6">
        <v>540</v>
      </c>
      <c r="J17">
        <v>27</v>
      </c>
      <c r="K17" s="6">
        <v>20</v>
      </c>
      <c r="L17" s="6">
        <v>20</v>
      </c>
      <c r="M17" t="s">
        <v>103</v>
      </c>
      <c r="N17" s="6">
        <v>1080</v>
      </c>
      <c r="O17" s="5">
        <v>1394</v>
      </c>
      <c r="P17" s="6">
        <v>1080</v>
      </c>
      <c r="Q17" t="s">
        <v>104</v>
      </c>
      <c r="R17" s="6">
        <v>3</v>
      </c>
      <c r="S17" s="5">
        <v>20132.28</v>
      </c>
      <c r="T17" s="7">
        <v>77.43184615384615</v>
      </c>
      <c r="U17" t="s">
        <v>115</v>
      </c>
      <c r="V17" t="s">
        <v>49</v>
      </c>
    </row>
  </sheetData>
  <autoFilter ref="A1:U1"/>
  <conditionalFormatting sqref="A2:A17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8.7109375" customWidth="1"/>
    <col min="4" max="4" width="9.140625" style="6"/>
    <col min="5" max="6" width="9.140625" style="5"/>
    <col min="7" max="10" width="9.140625" style="6"/>
    <col min="11" max="12" width="9.140625" style="5"/>
    <col min="13" max="13" width="14.7109375" customWidth="1"/>
    <col min="14" max="14" width="55.7109375" style="1" customWidth="1"/>
    <col min="15" max="15" width="70.7109375" style="1" customWidth="1"/>
  </cols>
  <sheetData>
    <row r="1" spans="1:15" s="2" customFormat="1">
      <c r="A1" s="4" t="s">
        <v>35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99</v>
      </c>
      <c r="M1" s="4" t="s">
        <v>97</v>
      </c>
      <c r="N1" s="4" t="s">
        <v>101</v>
      </c>
      <c r="O1" s="4" t="s">
        <v>130</v>
      </c>
    </row>
    <row r="2" spans="1:15">
      <c r="A2" t="s">
        <v>66</v>
      </c>
      <c r="B2" t="s">
        <v>71</v>
      </c>
      <c r="C2" t="s">
        <v>70</v>
      </c>
      <c r="D2" s="6">
        <v>4</v>
      </c>
      <c r="E2" s="5">
        <v>277.94</v>
      </c>
      <c r="F2" s="5">
        <v>110</v>
      </c>
      <c r="G2" s="6">
        <v>128</v>
      </c>
      <c r="H2" s="6">
        <v>128</v>
      </c>
      <c r="I2" s="6">
        <v>512</v>
      </c>
      <c r="J2" s="6">
        <v>640</v>
      </c>
      <c r="K2" s="5">
        <v>149.091</v>
      </c>
      <c r="L2" s="5">
        <v>19083.648</v>
      </c>
      <c r="M2" t="s">
        <v>104</v>
      </c>
      <c r="N2" s="1" t="s">
        <v>107</v>
      </c>
      <c r="O2" s="1" t="s">
        <v>84</v>
      </c>
    </row>
    <row r="3" spans="1:15">
      <c r="A3" t="s">
        <v>69</v>
      </c>
      <c r="B3" t="s">
        <v>82</v>
      </c>
      <c r="C3" t="s">
        <v>81</v>
      </c>
      <c r="D3" s="6">
        <v>1</v>
      </c>
      <c r="E3" s="5">
        <v>77.92</v>
      </c>
      <c r="F3" s="5">
        <v>60.33</v>
      </c>
      <c r="G3" s="6">
        <v>1344</v>
      </c>
      <c r="H3" s="6">
        <v>1344</v>
      </c>
      <c r="I3" s="6">
        <v>1344</v>
      </c>
      <c r="J3" s="6">
        <v>2688</v>
      </c>
      <c r="K3" s="5">
        <v>19.331</v>
      </c>
      <c r="L3" s="5">
        <v>25980.864</v>
      </c>
      <c r="M3" t="s">
        <v>105</v>
      </c>
      <c r="N3" s="1" t="s">
        <v>114</v>
      </c>
      <c r="O3" s="1" t="s">
        <v>87</v>
      </c>
    </row>
    <row r="4" spans="1:15">
      <c r="A4" t="s">
        <v>69</v>
      </c>
      <c r="B4" t="s">
        <v>83</v>
      </c>
      <c r="C4" t="s">
        <v>81</v>
      </c>
      <c r="D4" s="6">
        <v>1</v>
      </c>
      <c r="E4" s="5">
        <v>102.26</v>
      </c>
      <c r="F4" s="5">
        <v>60.33</v>
      </c>
      <c r="G4" s="6">
        <v>1037</v>
      </c>
      <c r="H4" s="6">
        <v>1037</v>
      </c>
      <c r="I4" s="6">
        <v>1037</v>
      </c>
      <c r="J4" s="6">
        <v>2074</v>
      </c>
      <c r="K4" s="5">
        <v>25.05</v>
      </c>
      <c r="L4" s="5">
        <v>25976.85</v>
      </c>
      <c r="M4" t="s">
        <v>105</v>
      </c>
      <c r="N4" s="1" t="s">
        <v>115</v>
      </c>
      <c r="O4" s="1" t="s">
        <v>87</v>
      </c>
    </row>
    <row r="5" spans="1:15">
      <c r="A5" t="s">
        <v>69</v>
      </c>
      <c r="B5" t="s">
        <v>83</v>
      </c>
      <c r="C5" t="s">
        <v>82</v>
      </c>
      <c r="D5" s="6">
        <v>1</v>
      </c>
      <c r="E5" s="5">
        <v>102.26</v>
      </c>
      <c r="F5" s="5">
        <v>88.90000000000001</v>
      </c>
      <c r="G5" s="6">
        <v>823</v>
      </c>
      <c r="H5" s="6">
        <v>823</v>
      </c>
      <c r="I5" s="6">
        <v>823</v>
      </c>
      <c r="J5" s="6">
        <v>1646</v>
      </c>
      <c r="K5" s="5">
        <v>31.563</v>
      </c>
      <c r="L5" s="5">
        <v>25976.34899999999</v>
      </c>
      <c r="M5" t="s">
        <v>105</v>
      </c>
      <c r="N5" s="1" t="s">
        <v>115</v>
      </c>
      <c r="O5" s="1" t="s">
        <v>87</v>
      </c>
    </row>
    <row r="6" spans="1:15">
      <c r="A6" t="s">
        <v>69</v>
      </c>
      <c r="B6" t="s">
        <v>83</v>
      </c>
      <c r="C6" t="s">
        <v>131</v>
      </c>
      <c r="D6" s="6">
        <v>2</v>
      </c>
      <c r="E6" s="5">
        <v>102.26</v>
      </c>
      <c r="F6" s="5">
        <v>88.90000000000001</v>
      </c>
      <c r="G6" s="6">
        <v>684</v>
      </c>
      <c r="H6" s="6">
        <v>684</v>
      </c>
      <c r="I6" s="6">
        <v>1368</v>
      </c>
      <c r="J6" s="6">
        <v>2052</v>
      </c>
      <c r="K6" s="5">
        <v>37.97199999999999</v>
      </c>
      <c r="L6" s="5">
        <v>25972.84799999999</v>
      </c>
      <c r="M6" t="s">
        <v>105</v>
      </c>
      <c r="N6" s="1" t="s">
        <v>115</v>
      </c>
      <c r="O6" s="1" t="s">
        <v>87</v>
      </c>
    </row>
  </sheetData>
  <autoFilter ref="A1:U1"/>
  <conditionalFormatting sqref="A2:A6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8.7109375" customWidth="1"/>
    <col min="4" max="4" width="9.140625" style="6"/>
    <col min="5" max="6" width="9.140625" style="5"/>
    <col min="7" max="10" width="9.140625" style="6"/>
    <col min="11" max="12" width="9.140625" style="5"/>
    <col min="13" max="13" width="14.7109375" customWidth="1"/>
    <col min="14" max="14" width="55.7109375" style="1" customWidth="1"/>
    <col min="15" max="15" width="70.7109375" style="1" customWidth="1"/>
  </cols>
  <sheetData>
    <row r="1" spans="1:15" s="2" customFormat="1">
      <c r="A1" s="4" t="s">
        <v>35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99</v>
      </c>
      <c r="M1" s="4" t="s">
        <v>97</v>
      </c>
      <c r="N1" s="4" t="s">
        <v>101</v>
      </c>
      <c r="O1" s="4" t="s">
        <v>130</v>
      </c>
    </row>
    <row r="2" spans="1:15">
      <c r="A2" t="s">
        <v>66</v>
      </c>
      <c r="B2" t="s">
        <v>71</v>
      </c>
      <c r="C2" t="s">
        <v>70</v>
      </c>
      <c r="D2" s="6">
        <v>4</v>
      </c>
      <c r="E2" s="5">
        <v>277.94</v>
      </c>
      <c r="F2" s="5">
        <v>110</v>
      </c>
      <c r="G2" s="6">
        <v>128</v>
      </c>
      <c r="H2" s="6">
        <v>128</v>
      </c>
      <c r="I2" s="6">
        <v>512</v>
      </c>
      <c r="J2" s="6">
        <v>640</v>
      </c>
      <c r="K2" s="5">
        <v>149.091</v>
      </c>
      <c r="L2" s="5">
        <v>19083.648</v>
      </c>
      <c r="M2" t="s">
        <v>104</v>
      </c>
      <c r="N2" s="1" t="s">
        <v>107</v>
      </c>
      <c r="O2" s="1" t="s">
        <v>84</v>
      </c>
    </row>
    <row r="3" spans="1:15">
      <c r="A3" t="s">
        <v>69</v>
      </c>
      <c r="B3" t="s">
        <v>82</v>
      </c>
      <c r="C3" t="s">
        <v>81</v>
      </c>
      <c r="D3" s="6">
        <v>1</v>
      </c>
      <c r="E3" s="5">
        <v>77.92</v>
      </c>
      <c r="F3" s="5">
        <v>60.33</v>
      </c>
      <c r="G3" s="6">
        <v>1344</v>
      </c>
      <c r="H3" s="6">
        <v>1344</v>
      </c>
      <c r="I3" s="6">
        <v>1344</v>
      </c>
      <c r="J3" s="6">
        <v>2688</v>
      </c>
      <c r="K3" s="5">
        <v>19.331</v>
      </c>
      <c r="L3" s="5">
        <v>25980.864</v>
      </c>
      <c r="M3" t="s">
        <v>105</v>
      </c>
      <c r="N3" s="1" t="s">
        <v>114</v>
      </c>
      <c r="O3" s="1" t="s">
        <v>87</v>
      </c>
    </row>
    <row r="4" spans="1:15">
      <c r="A4" t="s">
        <v>69</v>
      </c>
      <c r="B4" t="s">
        <v>83</v>
      </c>
      <c r="C4" t="s">
        <v>81</v>
      </c>
      <c r="D4" s="6">
        <v>1</v>
      </c>
      <c r="E4" s="5">
        <v>102.26</v>
      </c>
      <c r="F4" s="5">
        <v>60.33</v>
      </c>
      <c r="G4" s="6">
        <v>1037</v>
      </c>
      <c r="H4" s="6">
        <v>1037</v>
      </c>
      <c r="I4" s="6">
        <v>1037</v>
      </c>
      <c r="J4" s="6">
        <v>2074</v>
      </c>
      <c r="K4" s="5">
        <v>25.05</v>
      </c>
      <c r="L4" s="5">
        <v>25976.85</v>
      </c>
      <c r="M4" t="s">
        <v>105</v>
      </c>
      <c r="N4" s="1" t="s">
        <v>115</v>
      </c>
      <c r="O4" s="1" t="s">
        <v>87</v>
      </c>
    </row>
    <row r="5" spans="1:15">
      <c r="A5" t="s">
        <v>69</v>
      </c>
      <c r="B5" t="s">
        <v>83</v>
      </c>
      <c r="C5" t="s">
        <v>82</v>
      </c>
      <c r="D5" s="6">
        <v>1</v>
      </c>
      <c r="E5" s="5">
        <v>102.26</v>
      </c>
      <c r="F5" s="5">
        <v>88.90000000000001</v>
      </c>
      <c r="G5" s="6">
        <v>823</v>
      </c>
      <c r="H5" s="6">
        <v>823</v>
      </c>
      <c r="I5" s="6">
        <v>823</v>
      </c>
      <c r="J5" s="6">
        <v>1646</v>
      </c>
      <c r="K5" s="5">
        <v>31.563</v>
      </c>
      <c r="L5" s="5">
        <v>25976.34899999999</v>
      </c>
      <c r="M5" t="s">
        <v>105</v>
      </c>
      <c r="N5" s="1" t="s">
        <v>115</v>
      </c>
      <c r="O5" s="1" t="s">
        <v>87</v>
      </c>
    </row>
    <row r="6" spans="1:15">
      <c r="A6" t="s">
        <v>69</v>
      </c>
      <c r="B6" t="s">
        <v>83</v>
      </c>
      <c r="C6" t="s">
        <v>131</v>
      </c>
      <c r="D6" s="6">
        <v>2</v>
      </c>
      <c r="E6" s="5">
        <v>102.26</v>
      </c>
      <c r="F6" s="5">
        <v>88.90000000000001</v>
      </c>
      <c r="G6" s="6">
        <v>684</v>
      </c>
      <c r="H6" s="6">
        <v>684</v>
      </c>
      <c r="I6" s="6">
        <v>1368</v>
      </c>
      <c r="J6" s="6">
        <v>2052</v>
      </c>
      <c r="K6" s="5">
        <v>37.97199999999999</v>
      </c>
      <c r="L6" s="5">
        <v>25972.84799999999</v>
      </c>
      <c r="M6" t="s">
        <v>105</v>
      </c>
      <c r="N6" s="1" t="s">
        <v>115</v>
      </c>
      <c r="O6" s="1" t="s">
        <v>87</v>
      </c>
    </row>
  </sheetData>
  <autoFilter ref="A1:U1"/>
  <conditionalFormatting sqref="A2:A6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style="1" customWidth="1"/>
    <col min="3" max="3" width="44.7109375" style="1" customWidth="1"/>
    <col min="4" max="7" width="9.140625" style="6"/>
    <col min="8" max="8" width="80.7109375" style="1" customWidth="1"/>
  </cols>
  <sheetData>
    <row r="1" spans="1:8" s="2" customFormat="1">
      <c r="A1" s="4" t="s">
        <v>35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</row>
    <row r="2" spans="1:8">
      <c r="A2" t="s">
        <v>66</v>
      </c>
      <c r="B2" s="1" t="s">
        <v>139</v>
      </c>
      <c r="C2" s="1" t="s">
        <v>141</v>
      </c>
      <c r="D2" s="6">
        <v>2638</v>
      </c>
      <c r="E2" s="6">
        <v>2107</v>
      </c>
      <c r="F2" s="6">
        <v>2104</v>
      </c>
      <c r="G2" s="6">
        <v>3</v>
      </c>
      <c r="H2" s="1" t="s">
        <v>143</v>
      </c>
    </row>
    <row r="3" spans="1:8">
      <c r="A3" t="s">
        <v>69</v>
      </c>
      <c r="B3" s="1" t="s">
        <v>140</v>
      </c>
      <c r="C3" s="1" t="s">
        <v>142</v>
      </c>
      <c r="D3" s="6">
        <v>1983</v>
      </c>
      <c r="E3" s="6">
        <v>5</v>
      </c>
      <c r="F3" s="6">
        <v>3</v>
      </c>
      <c r="G3" s="6">
        <v>2</v>
      </c>
      <c r="H3" s="1" t="s">
        <v>144</v>
      </c>
    </row>
  </sheetData>
  <autoFilter ref="A1:U1"/>
  <conditionalFormatting sqref="A2:A3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Assumptions</vt:lpstr>
      <vt:lpstr>Pipe_Input_Data</vt:lpstr>
      <vt:lpstr>Individual_40ft_Plans</vt:lpstr>
      <vt:lpstr>Telescoping_Capacity</vt:lpstr>
      <vt:lpstr>Telescoped_40ft_Plans</vt:lpstr>
      <vt:lpstr>Order_Impact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2026-05-11T22:24:29Z</dcterms:created>
  <dcterms:modified xsi:type="dcterms:W3CDTF">2026-05-11T22:24:29Z</dcterms:modified>
</cp:coreProperties>
</file>